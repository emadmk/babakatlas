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k\Dropbox\Babajo Buffer\02-Car film Atlas Adaptive\01-Atlas Adaptive Tint\04-Marketing\05-Website\"/>
    </mc:Choice>
  </mc:AlternateContent>
  <xr:revisionPtr revIDLastSave="0" documentId="13_ncr:1_{83B1EC42-913A-4425-8D93-4945DF48B6DE}" xr6:coauthVersionLast="47" xr6:coauthVersionMax="47" xr10:uidLastSave="{00000000-0000-0000-0000-000000000000}"/>
  <bookViews>
    <workbookView xWindow="28680" yWindow="-120" windowWidth="29040" windowHeight="16440" activeTab="2" xr2:uid="{B3550BAC-D08A-4C98-ABE1-7F82CEEC68FB}"/>
  </bookViews>
  <sheets>
    <sheet name="Tint Options" sheetId="4" r:id="rId1"/>
    <sheet name="Sizes per and cost Per Category" sheetId="2" r:id="rId2"/>
    <sheet name="Pricing" sheetId="1" r:id="rId3"/>
    <sheet name="Estimate Film Use" sheetId="3" r:id="rId4"/>
  </sheets>
  <externalReferences>
    <externalReference r:id="rId5"/>
  </externalReferences>
  <definedNames>
    <definedName name="Adapt">'[1]Pricing-V1'!$D$11</definedName>
    <definedName name="Nano">'[1]Pricing-V1'!$D$12</definedName>
    <definedName name="Promo1">'[1]Discount Calculator'!$C$2</definedName>
    <definedName name="Promo2">'[1]Discount Calculator'!$C$3</definedName>
    <definedName name="Promo3">'[1]Discount Calculator'!$C$4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L25" i="3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</calcChain>
</file>

<file path=xl/sharedStrings.xml><?xml version="1.0" encoding="utf-8"?>
<sst xmlns="http://schemas.openxmlformats.org/spreadsheetml/2006/main" count="161" uniqueCount="105">
  <si>
    <t xml:space="preserve">Average Area of glass for models </t>
  </si>
  <si>
    <t>Vehicle Type</t>
  </si>
  <si>
    <t>Front Windshield (sq. meters)</t>
  </si>
  <si>
    <t>Rear Windshield (sq. meters)</t>
  </si>
  <si>
    <t>Total Side Windows (sq. meters)</t>
  </si>
  <si>
    <t>Total Surface Area (sq. meters)</t>
  </si>
  <si>
    <t>Sedan</t>
  </si>
  <si>
    <t>MPV</t>
  </si>
  <si>
    <t>SUV</t>
  </si>
  <si>
    <t>Coupe</t>
  </si>
  <si>
    <t>Pickup Truck</t>
  </si>
  <si>
    <t>Average length of 1.52m roll used per category</t>
  </si>
  <si>
    <t>Front Windshield  meters</t>
  </si>
  <si>
    <t>Rear Windshield (meters)</t>
  </si>
  <si>
    <t>Total Side Windows (meters)</t>
  </si>
  <si>
    <t>Total Surface Area (meters)</t>
  </si>
  <si>
    <t>Implications for average tint film usage (1.52×30 m roll, 10% waste)</t>
  </si>
  <si>
    <t>Using the previous component methodology (fixed windshields, side windows scaled by length, etc.), approximate average roll length usage for each class:</t>
  </si>
  <si>
    <t>Body Type</t>
  </si>
  <si>
    <t>Approx. Total Glazed Area (m²)</t>
  </si>
  <si>
    <t>With 10% Waste (m²)</t>
  </si>
  <si>
    <t>Roll Length Required (m)</t>
  </si>
  <si>
    <t>% of a 30m Roll</t>
  </si>
  <si>
    <t>SUV (avg length ~4.7 m)</t>
  </si>
  <si>
    <t>~ 5.6 m²</t>
  </si>
  <si>
    <t>~ 6.2 m²</t>
  </si>
  <si>
    <t>≈ 4.1 m</t>
  </si>
  <si>
    <t>~ 14%</t>
  </si>
  <si>
    <t>MPV (avg ~4.8 m)</t>
  </si>
  <si>
    <t>~ 6.8 m²</t>
  </si>
  <si>
    <t>≈ 4.5 m</t>
  </si>
  <si>
    <t>~ 15%</t>
  </si>
  <si>
    <t>Sedan (avg ~4.5 m)</t>
  </si>
  <si>
    <t>~ 5.2 m²</t>
  </si>
  <si>
    <t>~ 5.7 m²</t>
  </si>
  <si>
    <t>≈ 3.8 m</t>
  </si>
  <si>
    <t>~ 13%</t>
  </si>
  <si>
    <t>Model</t>
  </si>
  <si>
    <t>Length (m)</t>
  </si>
  <si>
    <t>Side wnd (m²)</t>
  </si>
  <si>
    <t>Extras (m²)</t>
  </si>
  <si>
    <t>Total glass (m²)</t>
  </si>
  <si>
    <t>+10% (m²)</t>
  </si>
  <si>
    <t>Roll length used (m)</t>
  </si>
  <si>
    <t>% of 30m roll</t>
  </si>
  <si>
    <t>Toyota Fortuner</t>
  </si>
  <si>
    <t>Toyota RAV4</t>
  </si>
  <si>
    <t>Honda CR-V</t>
  </si>
  <si>
    <t>Mitsubishi Montero Sport (Pajero Sport)</t>
  </si>
  <si>
    <t>Isuzu mu-X</t>
  </si>
  <si>
    <t>Hyundai Tucson</t>
  </si>
  <si>
    <t>Nissan X-Trail</t>
  </si>
  <si>
    <t>MG ZS</t>
  </si>
  <si>
    <t>Ford Everest</t>
  </si>
  <si>
    <t>Kia Seltos</t>
  </si>
  <si>
    <t>Toyota Rush</t>
  </si>
  <si>
    <t>Honda HR-V</t>
  </si>
  <si>
    <t>Table — Popular MPVs (12 models, estimates)</t>
  </si>
  <si>
    <t>Toyota Innova</t>
  </si>
  <si>
    <t>Toyota Veloz</t>
  </si>
  <si>
    <t>Toyota Avanza</t>
  </si>
  <si>
    <t>Mitsubishi Xpander</t>
  </si>
  <si>
    <t>Suzuki Ertiga</t>
  </si>
  <si>
    <t>Kia Carnival</t>
  </si>
  <si>
    <t>Honda Mobilio</t>
  </si>
  <si>
    <t>Suzuki APV</t>
  </si>
  <si>
    <t>Nissan Urvan</t>
  </si>
  <si>
    <t>Toyota HiAce</t>
  </si>
  <si>
    <t>Isuzu Crosswind</t>
  </si>
  <si>
    <t>Mitsubishi Adventure</t>
  </si>
  <si>
    <t>Tint Option</t>
  </si>
  <si>
    <t>Types of Vehicle</t>
  </si>
  <si>
    <t>Tint Used</t>
  </si>
  <si>
    <t>Nano Ceramic</t>
  </si>
  <si>
    <t>Windshield</t>
  </si>
  <si>
    <t>Coupe, Sedan, Pick Up</t>
  </si>
  <si>
    <t>MPV, SUV</t>
  </si>
  <si>
    <t>Van</t>
  </si>
  <si>
    <t>Windshield &amp; Front Windows- Half Unit</t>
  </si>
  <si>
    <t>All Windows &amp; Rear Windshiel-Semi Full</t>
  </si>
  <si>
    <t>Full Wrap</t>
  </si>
  <si>
    <t>Adaptive</t>
  </si>
  <si>
    <t>Windshield &amp;Front  Windows- Half Unit</t>
  </si>
  <si>
    <t>Combo</t>
  </si>
  <si>
    <t>Measurement is Length of Roll cut. The roll is 1.5m wide, so 1m is a 1m x1.5m piece</t>
  </si>
  <si>
    <t>VLT</t>
  </si>
  <si>
    <t>IRR Rejection</t>
  </si>
  <si>
    <t>UV Rejection</t>
  </si>
  <si>
    <t>Roll Size</t>
  </si>
  <si>
    <t>Price Per roll, sold in smaller cuts</t>
  </si>
  <si>
    <t>Tint</t>
  </si>
  <si>
    <t>Adaptive Dark</t>
  </si>
  <si>
    <t>Adaptive Light</t>
  </si>
  <si>
    <t>hgh selling</t>
  </si>
  <si>
    <t>Currency</t>
  </si>
  <si>
    <t>Peso</t>
  </si>
  <si>
    <t>70-35%</t>
  </si>
  <si>
    <t>17-35%</t>
  </si>
  <si>
    <t>1.52 X 30m</t>
  </si>
  <si>
    <t>Nano Ceramic- 3%</t>
  </si>
  <si>
    <t>Nano Ceramic- 5%</t>
  </si>
  <si>
    <t>Nano Ceramic- 21%</t>
  </si>
  <si>
    <t>Nano Ceramic- 35%</t>
  </si>
  <si>
    <t>Nano Ceramic- 45%</t>
  </si>
  <si>
    <t>Nano Ceramic- 70%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</si>
</sst>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 applyAlignment="1">
      <alignment vertical="center"/>
    </xf>
    <xf numFmtId="10" fontId="0" fillId="0" borderId="0" xfId="0" applyNumberFormat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4" xfId="0" applyBorder="1"/>
    <xf numFmtId="0" fontId="0" fillId="0" borderId="13" xfId="0" applyBorder="1"/>
    <xf numFmtId="0" fontId="0" fillId="0" borderId="9" xfId="0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9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1-Quotes%20&amp;%20Invoices/02-%20Pricing%20Calculations%20for%20Posters/01-Pricing%20Poster-%20FB-Rev%20A(12-Oct%2025).xlsx" TargetMode="External"/><Relationship Id="rId2" Type="http://schemas.openxmlformats.org/officeDocument/2006/relationships/externalLinkPath" Target="file:///C:\Users\babak\Dropbox\Babajo%20Buffer\02-Car%20film%20Atlas%20Adaptive\01-Atlas%20Adaptive%20Tint\01-Quotes%20&amp;%20Invoices\02-%20Pricing%20Calculations%20for%20Posters\01-Pricing%20Poster-%20FB-Rev%20A(12-Oct%2025).xlsx" TargetMode="External"/><Relationship Id="rId1" Type="http://schemas.openxmlformats.org/officeDocument/2006/relationships/externalLinkPath" Target="/Users/babak/Dropbox/Babajo%20Buffer/02-Car%20film%20Atlas%20Adaptive/01-Atlas%20Adaptive%20Tint/01-Quotes%20&amp;%20Invoices/02-%20Pricing%20Calculations%20for%20Posters/01-Pricing%20Poster-%20FB-Rev%20A(12-Oct%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cing-V1"/>
      <sheetName val="Discount Calculator"/>
      <sheetName val="Read Me"/>
      <sheetName val="Pricing-V0"/>
      <sheetName val="Cost Calc"/>
      <sheetName val="Sizes per and cost Per Category"/>
      <sheetName val="Profit Calculator"/>
      <sheetName val="Estimate Film Use"/>
    </sheetNames>
    <sheetDataSet>
      <sheetData sheetId="0">
        <row r="11">
          <cell r="D11">
            <v>1070</v>
          </cell>
        </row>
        <row r="12">
          <cell r="D12">
            <v>300</v>
          </cell>
        </row>
      </sheetData>
      <sheetData sheetId="1">
        <row r="2">
          <cell r="C2">
            <v>0.1</v>
          </cell>
        </row>
        <row r="3">
          <cell r="C3">
            <v>0.2</v>
          </cell>
        </row>
        <row r="4">
          <cell r="C4">
            <v>0.25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CA79-0EE4-440D-9A4A-E06D85AA7023}">
  <dimension ref="A3:H12"/>
  <sheetViews>
    <sheetView workbookViewId="0">
      <selection activeCell="C22" sqref="C22"/>
    </sheetView>
  </sheetViews>
  <sheetFormatPr defaultRowHeight="15" x14ac:dyDescent="0.25"/>
  <cols>
    <col min="1" max="1" width="20.7109375" customWidth="1"/>
    <col min="2" max="2" width="19.7109375" customWidth="1"/>
    <col min="3" max="3" width="12.42578125" customWidth="1"/>
    <col min="4" max="4" width="15.5703125" customWidth="1"/>
    <col min="5" max="5" width="19.28515625" customWidth="1"/>
    <col min="6" max="6" width="17.28515625" customWidth="1"/>
    <col min="7" max="7" width="41.85546875" customWidth="1"/>
  </cols>
  <sheetData>
    <row r="3" spans="1:8" ht="15.75" thickBot="1" x14ac:dyDescent="0.3"/>
    <row r="4" spans="1:8" x14ac:dyDescent="0.25">
      <c r="B4" s="46" t="s">
        <v>90</v>
      </c>
      <c r="C4" s="47" t="s">
        <v>85</v>
      </c>
      <c r="D4" s="48" t="s">
        <v>86</v>
      </c>
      <c r="E4" s="48" t="s">
        <v>87</v>
      </c>
      <c r="F4" s="48" t="s">
        <v>88</v>
      </c>
      <c r="G4" s="48" t="s">
        <v>89</v>
      </c>
      <c r="H4" s="49" t="s">
        <v>94</v>
      </c>
    </row>
    <row r="5" spans="1:8" x14ac:dyDescent="0.25">
      <c r="A5" t="s">
        <v>93</v>
      </c>
      <c r="B5" s="14" t="s">
        <v>92</v>
      </c>
      <c r="C5" s="37" t="s">
        <v>96</v>
      </c>
      <c r="D5" s="50">
        <v>0.95</v>
      </c>
      <c r="E5" s="50">
        <v>0.99</v>
      </c>
      <c r="F5" s="37" t="s">
        <v>98</v>
      </c>
      <c r="G5" s="51">
        <v>200000</v>
      </c>
      <c r="H5" s="15" t="s">
        <v>95</v>
      </c>
    </row>
    <row r="6" spans="1:8" x14ac:dyDescent="0.25">
      <c r="B6" s="14" t="s">
        <v>91</v>
      </c>
      <c r="C6" s="37" t="s">
        <v>97</v>
      </c>
      <c r="D6" s="50">
        <v>0.95</v>
      </c>
      <c r="E6" s="50">
        <v>0.99</v>
      </c>
      <c r="F6" s="37" t="s">
        <v>98</v>
      </c>
      <c r="G6" s="51">
        <v>200000</v>
      </c>
      <c r="H6" s="15" t="s">
        <v>95</v>
      </c>
    </row>
    <row r="7" spans="1:8" x14ac:dyDescent="0.25">
      <c r="B7" s="14" t="s">
        <v>99</v>
      </c>
      <c r="C7" s="50">
        <v>0.03</v>
      </c>
      <c r="D7" s="50">
        <v>0.99</v>
      </c>
      <c r="E7" s="50">
        <v>0.99</v>
      </c>
      <c r="F7" s="37" t="s">
        <v>98</v>
      </c>
      <c r="G7" s="51">
        <v>50000</v>
      </c>
      <c r="H7" s="15" t="s">
        <v>95</v>
      </c>
    </row>
    <row r="8" spans="1:8" x14ac:dyDescent="0.25">
      <c r="B8" s="14" t="s">
        <v>100</v>
      </c>
      <c r="C8" s="50">
        <v>0.05</v>
      </c>
      <c r="D8" s="50">
        <v>0.99</v>
      </c>
      <c r="E8" s="50">
        <v>0.99</v>
      </c>
      <c r="F8" s="37" t="s">
        <v>98</v>
      </c>
      <c r="G8" s="51">
        <v>50000</v>
      </c>
      <c r="H8" s="15" t="s">
        <v>95</v>
      </c>
    </row>
    <row r="9" spans="1:8" x14ac:dyDescent="0.25">
      <c r="B9" s="14" t="s">
        <v>101</v>
      </c>
      <c r="C9" s="50">
        <v>0.21</v>
      </c>
      <c r="D9" s="50">
        <v>0.99</v>
      </c>
      <c r="E9" s="50">
        <v>0.99</v>
      </c>
      <c r="F9" s="37" t="s">
        <v>98</v>
      </c>
      <c r="G9" s="51">
        <v>50000</v>
      </c>
      <c r="H9" s="15" t="s">
        <v>95</v>
      </c>
    </row>
    <row r="10" spans="1:8" x14ac:dyDescent="0.25">
      <c r="B10" s="14" t="s">
        <v>102</v>
      </c>
      <c r="C10" s="50">
        <v>0.35</v>
      </c>
      <c r="D10" s="50">
        <v>0.99</v>
      </c>
      <c r="E10" s="50">
        <v>0.99</v>
      </c>
      <c r="F10" s="37" t="s">
        <v>98</v>
      </c>
      <c r="G10" s="51">
        <v>50000</v>
      </c>
      <c r="H10" s="15" t="s">
        <v>95</v>
      </c>
    </row>
    <row r="11" spans="1:8" x14ac:dyDescent="0.25">
      <c r="B11" s="14" t="s">
        <v>103</v>
      </c>
      <c r="C11" s="50">
        <v>0.45</v>
      </c>
      <c r="D11" s="50">
        <v>0.99</v>
      </c>
      <c r="E11" s="50">
        <v>0.99</v>
      </c>
      <c r="F11" s="37" t="s">
        <v>98</v>
      </c>
      <c r="G11" s="51">
        <v>50000</v>
      </c>
      <c r="H11" s="15" t="s">
        <v>95</v>
      </c>
    </row>
    <row r="12" spans="1:8" ht="15.75" thickBot="1" x14ac:dyDescent="0.3">
      <c r="B12" s="16" t="s">
        <v>104</v>
      </c>
      <c r="C12" s="52">
        <v>0.7</v>
      </c>
      <c r="D12" s="52">
        <v>0.99</v>
      </c>
      <c r="E12" s="52">
        <v>0.99</v>
      </c>
      <c r="F12" s="25" t="s">
        <v>98</v>
      </c>
      <c r="G12" s="53">
        <v>50000</v>
      </c>
      <c r="H12" s="18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536B-9698-48A7-A75E-EBB76AD91209}">
  <dimension ref="C3:P20"/>
  <sheetViews>
    <sheetView workbookViewId="0">
      <selection activeCell="E26" sqref="E26"/>
    </sheetView>
  </sheetViews>
  <sheetFormatPr defaultRowHeight="15" x14ac:dyDescent="0.25"/>
  <cols>
    <col min="3" max="3" width="7.140625" bestFit="1" customWidth="1"/>
    <col min="4" max="7" width="30.85546875" customWidth="1"/>
  </cols>
  <sheetData>
    <row r="3" spans="3:16" x14ac:dyDescent="0.25">
      <c r="C3" s="1" t="s">
        <v>0</v>
      </c>
      <c r="D3" s="1"/>
      <c r="E3" s="1"/>
      <c r="F3" s="1"/>
      <c r="G3" s="1"/>
    </row>
    <row r="4" spans="3:16" ht="53.45" customHeight="1" x14ac:dyDescent="0.25"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3:16" x14ac:dyDescent="0.25">
      <c r="C5" s="3" t="s">
        <v>6</v>
      </c>
      <c r="D5" s="4">
        <v>1.4</v>
      </c>
      <c r="E5" s="4">
        <v>1</v>
      </c>
      <c r="F5" s="4">
        <v>1.3</v>
      </c>
      <c r="G5" s="4">
        <v>3.7</v>
      </c>
    </row>
    <row r="6" spans="3:16" x14ac:dyDescent="0.25">
      <c r="C6" s="3" t="s">
        <v>7</v>
      </c>
      <c r="D6" s="4">
        <v>1.7</v>
      </c>
      <c r="E6" s="4">
        <v>1.3</v>
      </c>
      <c r="F6" s="4">
        <v>1.8</v>
      </c>
      <c r="G6" s="4">
        <v>4.8</v>
      </c>
    </row>
    <row r="7" spans="3:16" x14ac:dyDescent="0.25">
      <c r="C7" s="3" t="s">
        <v>8</v>
      </c>
      <c r="D7" s="4">
        <v>1.6</v>
      </c>
      <c r="E7" s="4">
        <v>1.2</v>
      </c>
      <c r="F7" s="4">
        <v>1.5</v>
      </c>
      <c r="G7" s="4">
        <v>4.3</v>
      </c>
    </row>
    <row r="8" spans="3:16" x14ac:dyDescent="0.25">
      <c r="C8" s="3" t="s">
        <v>9</v>
      </c>
      <c r="D8" s="4">
        <v>1.2</v>
      </c>
      <c r="E8" s="4">
        <v>0.9</v>
      </c>
      <c r="F8" s="4">
        <v>1</v>
      </c>
      <c r="G8" s="4">
        <v>3.1</v>
      </c>
    </row>
    <row r="9" spans="3:16" ht="30" x14ac:dyDescent="0.25">
      <c r="C9" s="3" t="s">
        <v>10</v>
      </c>
      <c r="D9" s="4">
        <v>1.5</v>
      </c>
      <c r="E9" s="4">
        <v>1</v>
      </c>
      <c r="F9" s="4">
        <v>1.4</v>
      </c>
      <c r="G9" s="4">
        <v>3.9</v>
      </c>
    </row>
    <row r="12" spans="3:16" x14ac:dyDescent="0.25">
      <c r="L12" s="5"/>
      <c r="M12" s="5"/>
      <c r="N12" s="5"/>
      <c r="O12" s="5"/>
      <c r="P12" s="5"/>
    </row>
    <row r="13" spans="3:16" x14ac:dyDescent="0.25">
      <c r="L13" s="6"/>
      <c r="M13" s="7"/>
      <c r="N13" s="7"/>
      <c r="O13" s="7"/>
      <c r="P13" s="7"/>
    </row>
    <row r="14" spans="3:16" x14ac:dyDescent="0.25">
      <c r="C14" s="9" t="s">
        <v>11</v>
      </c>
      <c r="D14" s="9"/>
      <c r="E14" s="9"/>
      <c r="F14" s="9"/>
      <c r="G14" s="9"/>
      <c r="L14" s="6"/>
      <c r="M14" s="7"/>
      <c r="N14" s="7"/>
      <c r="O14" s="7"/>
      <c r="P14" s="7"/>
    </row>
    <row r="15" spans="3:16" ht="30" x14ac:dyDescent="0.25">
      <c r="C15" s="2" t="s">
        <v>1</v>
      </c>
      <c r="D15" s="2" t="s">
        <v>12</v>
      </c>
      <c r="E15" s="2" t="s">
        <v>13</v>
      </c>
      <c r="F15" s="2" t="s">
        <v>14</v>
      </c>
      <c r="G15" s="2" t="s">
        <v>15</v>
      </c>
      <c r="L15" s="6"/>
      <c r="M15" s="7"/>
      <c r="N15" s="7"/>
      <c r="O15" s="7"/>
      <c r="P15" s="7"/>
    </row>
    <row r="16" spans="3:16" x14ac:dyDescent="0.25">
      <c r="C16" s="3" t="s">
        <v>6</v>
      </c>
      <c r="D16" s="8">
        <f>D5/1.5</f>
        <v>0.93333333333333324</v>
      </c>
      <c r="E16" s="8">
        <f t="shared" ref="E16:G17" si="0">E5/1.5</f>
        <v>0.66666666666666663</v>
      </c>
      <c r="F16" s="8">
        <f t="shared" si="0"/>
        <v>0.8666666666666667</v>
      </c>
      <c r="G16" s="8">
        <f t="shared" si="0"/>
        <v>2.4666666666666668</v>
      </c>
      <c r="L16" s="6"/>
      <c r="M16" s="7"/>
      <c r="N16" s="7"/>
      <c r="O16" s="7"/>
      <c r="P16" s="7"/>
    </row>
    <row r="17" spans="3:16" x14ac:dyDescent="0.25">
      <c r="C17" s="3" t="s">
        <v>7</v>
      </c>
      <c r="D17" s="8">
        <f>D6/1.5</f>
        <v>1.1333333333333333</v>
      </c>
      <c r="E17" s="8">
        <f t="shared" si="0"/>
        <v>0.8666666666666667</v>
      </c>
      <c r="F17" s="8">
        <f>F6/1.5</f>
        <v>1.2</v>
      </c>
      <c r="G17" s="8">
        <f t="shared" si="0"/>
        <v>3.1999999999999997</v>
      </c>
      <c r="L17" s="6"/>
      <c r="M17" s="7"/>
      <c r="N17" s="7"/>
      <c r="O17" s="7"/>
      <c r="P17" s="7"/>
    </row>
    <row r="18" spans="3:16" x14ac:dyDescent="0.25">
      <c r="C18" s="3" t="s">
        <v>8</v>
      </c>
      <c r="D18" s="8">
        <f t="shared" ref="D18:G20" si="1">D7/1.5</f>
        <v>1.0666666666666667</v>
      </c>
      <c r="E18" s="8">
        <f t="shared" si="1"/>
        <v>0.79999999999999993</v>
      </c>
      <c r="F18" s="8">
        <f t="shared" si="1"/>
        <v>1</v>
      </c>
      <c r="G18" s="8">
        <f t="shared" si="1"/>
        <v>2.8666666666666667</v>
      </c>
    </row>
    <row r="19" spans="3:16" x14ac:dyDescent="0.25">
      <c r="C19" s="3" t="s">
        <v>9</v>
      </c>
      <c r="D19" s="8">
        <f t="shared" si="1"/>
        <v>0.79999999999999993</v>
      </c>
      <c r="E19" s="8">
        <f t="shared" si="1"/>
        <v>0.6</v>
      </c>
      <c r="F19" s="8">
        <f t="shared" si="1"/>
        <v>0.66666666666666663</v>
      </c>
      <c r="G19" s="8">
        <f t="shared" si="1"/>
        <v>2.0666666666666669</v>
      </c>
    </row>
    <row r="20" spans="3:16" ht="30" x14ac:dyDescent="0.25">
      <c r="C20" s="3" t="s">
        <v>10</v>
      </c>
      <c r="D20" s="8">
        <f t="shared" si="1"/>
        <v>1</v>
      </c>
      <c r="E20" s="8">
        <f t="shared" si="1"/>
        <v>0.66666666666666663</v>
      </c>
      <c r="F20" s="8">
        <f t="shared" si="1"/>
        <v>0.93333333333333324</v>
      </c>
      <c r="G20" s="8">
        <f t="shared" si="1"/>
        <v>2.6</v>
      </c>
    </row>
  </sheetData>
  <mergeCells count="2">
    <mergeCell ref="C3:G3"/>
    <mergeCell ref="C14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A193-7416-4E68-8167-422B859028D7}">
  <dimension ref="B1:E31"/>
  <sheetViews>
    <sheetView tabSelected="1" workbookViewId="0">
      <selection activeCell="G5" sqref="G5"/>
    </sheetView>
  </sheetViews>
  <sheetFormatPr defaultRowHeight="15" x14ac:dyDescent="0.25"/>
  <cols>
    <col min="3" max="3" width="30.85546875" customWidth="1"/>
    <col min="4" max="4" width="23.140625" customWidth="1"/>
    <col min="5" max="5" width="18.140625" customWidth="1"/>
  </cols>
  <sheetData>
    <row r="1" spans="2:5" ht="15.75" thickBot="1" x14ac:dyDescent="0.3"/>
    <row r="2" spans="2:5" ht="15.75" thickBot="1" x14ac:dyDescent="0.3">
      <c r="B2" s="43" t="s">
        <v>84</v>
      </c>
      <c r="C2" s="44"/>
      <c r="D2" s="44"/>
      <c r="E2" s="45"/>
    </row>
    <row r="3" spans="2:5" ht="15.75" thickBot="1" x14ac:dyDescent="0.3"/>
    <row r="4" spans="2:5" ht="30.75" thickBot="1" x14ac:dyDescent="0.3">
      <c r="C4" s="21" t="s">
        <v>70</v>
      </c>
      <c r="D4" s="22" t="s">
        <v>71</v>
      </c>
      <c r="E4" s="32" t="s">
        <v>72</v>
      </c>
    </row>
    <row r="5" spans="2:5" x14ac:dyDescent="0.25">
      <c r="B5" s="26" t="s">
        <v>73</v>
      </c>
      <c r="C5" s="33" t="s">
        <v>74</v>
      </c>
      <c r="D5" s="23" t="s">
        <v>75</v>
      </c>
      <c r="E5" s="34">
        <v>1</v>
      </c>
    </row>
    <row r="6" spans="2:5" x14ac:dyDescent="0.25">
      <c r="B6" s="27"/>
      <c r="C6" s="35"/>
      <c r="D6" s="36" t="s">
        <v>76</v>
      </c>
      <c r="E6" s="38">
        <v>1.5</v>
      </c>
    </row>
    <row r="7" spans="2:5" ht="15.75" thickBot="1" x14ac:dyDescent="0.3">
      <c r="B7" s="27"/>
      <c r="C7" s="39"/>
      <c r="D7" s="24" t="s">
        <v>77</v>
      </c>
      <c r="E7" s="40">
        <v>2</v>
      </c>
    </row>
    <row r="8" spans="2:5" x14ac:dyDescent="0.25">
      <c r="B8" s="27"/>
      <c r="C8" s="33" t="s">
        <v>78</v>
      </c>
      <c r="D8" s="23" t="s">
        <v>75</v>
      </c>
      <c r="E8" s="34">
        <f>E5+1.5</f>
        <v>2.5</v>
      </c>
    </row>
    <row r="9" spans="2:5" x14ac:dyDescent="0.25">
      <c r="B9" s="27"/>
      <c r="C9" s="35"/>
      <c r="D9" s="36" t="s">
        <v>76</v>
      </c>
      <c r="E9" s="38">
        <f t="shared" ref="E9:E10" si="0">E6+1.5</f>
        <v>3</v>
      </c>
    </row>
    <row r="10" spans="2:5" ht="15.75" thickBot="1" x14ac:dyDescent="0.3">
      <c r="B10" s="27"/>
      <c r="C10" s="39"/>
      <c r="D10" s="24" t="s">
        <v>77</v>
      </c>
      <c r="E10" s="40">
        <f t="shared" si="0"/>
        <v>3.5</v>
      </c>
    </row>
    <row r="11" spans="2:5" x14ac:dyDescent="0.25">
      <c r="B11" s="27"/>
      <c r="C11" s="33" t="s">
        <v>79</v>
      </c>
      <c r="D11" s="23" t="s">
        <v>75</v>
      </c>
      <c r="E11" s="34">
        <f>E14-1</f>
        <v>2.5</v>
      </c>
    </row>
    <row r="12" spans="2:5" x14ac:dyDescent="0.25">
      <c r="B12" s="27"/>
      <c r="C12" s="35"/>
      <c r="D12" s="36" t="s">
        <v>76</v>
      </c>
      <c r="E12" s="38">
        <f>E15-1.5</f>
        <v>3</v>
      </c>
    </row>
    <row r="13" spans="2:5" ht="15.75" thickBot="1" x14ac:dyDescent="0.3">
      <c r="B13" s="27"/>
      <c r="C13" s="39"/>
      <c r="D13" s="24" t="s">
        <v>77</v>
      </c>
      <c r="E13" s="40">
        <f>E16-1.5</f>
        <v>4.5</v>
      </c>
    </row>
    <row r="14" spans="2:5" x14ac:dyDescent="0.25">
      <c r="B14" s="27"/>
      <c r="C14" s="33" t="s">
        <v>80</v>
      </c>
      <c r="D14" s="23" t="s">
        <v>75</v>
      </c>
      <c r="E14" s="34">
        <v>3.5</v>
      </c>
    </row>
    <row r="15" spans="2:5" x14ac:dyDescent="0.25">
      <c r="B15" s="27"/>
      <c r="C15" s="35"/>
      <c r="D15" s="36" t="s">
        <v>76</v>
      </c>
      <c r="E15" s="38">
        <v>4.5</v>
      </c>
    </row>
    <row r="16" spans="2:5" ht="15.75" thickBot="1" x14ac:dyDescent="0.3">
      <c r="B16" s="28"/>
      <c r="C16" s="39"/>
      <c r="D16" s="24" t="s">
        <v>77</v>
      </c>
      <c r="E16" s="40">
        <v>6</v>
      </c>
    </row>
    <row r="17" spans="2:5" x14ac:dyDescent="0.25">
      <c r="B17" s="29" t="s">
        <v>81</v>
      </c>
      <c r="C17" s="33" t="s">
        <v>74</v>
      </c>
      <c r="D17" s="23" t="s">
        <v>75</v>
      </c>
      <c r="E17" s="34">
        <v>1</v>
      </c>
    </row>
    <row r="18" spans="2:5" x14ac:dyDescent="0.25">
      <c r="B18" s="30"/>
      <c r="C18" s="35"/>
      <c r="D18" s="36" t="s">
        <v>76</v>
      </c>
      <c r="E18" s="38">
        <v>1.5</v>
      </c>
    </row>
    <row r="19" spans="2:5" ht="15.75" thickBot="1" x14ac:dyDescent="0.3">
      <c r="B19" s="30"/>
      <c r="C19" s="39"/>
      <c r="D19" s="24" t="s">
        <v>77</v>
      </c>
      <c r="E19" s="40">
        <v>2</v>
      </c>
    </row>
    <row r="20" spans="2:5" x14ac:dyDescent="0.25">
      <c r="B20" s="30"/>
      <c r="C20" s="33" t="s">
        <v>82</v>
      </c>
      <c r="D20" s="23" t="s">
        <v>75</v>
      </c>
      <c r="E20" s="34">
        <v>2.5</v>
      </c>
    </row>
    <row r="21" spans="2:5" x14ac:dyDescent="0.25">
      <c r="B21" s="30"/>
      <c r="C21" s="35"/>
      <c r="D21" s="36" t="s">
        <v>76</v>
      </c>
      <c r="E21" s="38">
        <v>3</v>
      </c>
    </row>
    <row r="22" spans="2:5" ht="15.75" thickBot="1" x14ac:dyDescent="0.3">
      <c r="B22" s="30"/>
      <c r="C22" s="39"/>
      <c r="D22" s="24" t="s">
        <v>77</v>
      </c>
      <c r="E22" s="40">
        <v>3.5</v>
      </c>
    </row>
    <row r="23" spans="2:5" x14ac:dyDescent="0.25">
      <c r="B23" s="30"/>
      <c r="C23" s="33" t="s">
        <v>79</v>
      </c>
      <c r="D23" s="23" t="s">
        <v>75</v>
      </c>
      <c r="E23" s="34">
        <v>2.5</v>
      </c>
    </row>
    <row r="24" spans="2:5" x14ac:dyDescent="0.25">
      <c r="B24" s="30"/>
      <c r="C24" s="35"/>
      <c r="D24" s="36" t="s">
        <v>76</v>
      </c>
      <c r="E24" s="38">
        <v>3</v>
      </c>
    </row>
    <row r="25" spans="2:5" ht="15.75" thickBot="1" x14ac:dyDescent="0.3">
      <c r="B25" s="30"/>
      <c r="C25" s="39"/>
      <c r="D25" s="24" t="s">
        <v>77</v>
      </c>
      <c r="E25" s="40">
        <v>4.5</v>
      </c>
    </row>
    <row r="26" spans="2:5" x14ac:dyDescent="0.25">
      <c r="B26" s="30"/>
      <c r="C26" s="33" t="s">
        <v>80</v>
      </c>
      <c r="D26" s="23" t="s">
        <v>75</v>
      </c>
      <c r="E26" s="34">
        <v>3.5</v>
      </c>
    </row>
    <row r="27" spans="2:5" x14ac:dyDescent="0.25">
      <c r="B27" s="30"/>
      <c r="C27" s="35"/>
      <c r="D27" s="36" t="s">
        <v>76</v>
      </c>
      <c r="E27" s="38">
        <v>4.5</v>
      </c>
    </row>
    <row r="28" spans="2:5" ht="15.75" thickBot="1" x14ac:dyDescent="0.3">
      <c r="B28" s="30"/>
      <c r="C28" s="39"/>
      <c r="D28" s="24" t="s">
        <v>77</v>
      </c>
      <c r="E28" s="40">
        <v>6</v>
      </c>
    </row>
    <row r="29" spans="2:5" x14ac:dyDescent="0.25">
      <c r="B29" s="30"/>
      <c r="C29" s="33" t="s">
        <v>83</v>
      </c>
      <c r="D29" s="23" t="s">
        <v>75</v>
      </c>
      <c r="E29" s="34">
        <v>3.5</v>
      </c>
    </row>
    <row r="30" spans="2:5" x14ac:dyDescent="0.25">
      <c r="B30" s="30"/>
      <c r="C30" s="35"/>
      <c r="D30" s="36" t="s">
        <v>76</v>
      </c>
      <c r="E30" s="38">
        <v>4.5</v>
      </c>
    </row>
    <row r="31" spans="2:5" ht="15.75" thickBot="1" x14ac:dyDescent="0.3">
      <c r="B31" s="31"/>
      <c r="C31" s="41"/>
      <c r="D31" s="17" t="s">
        <v>77</v>
      </c>
      <c r="E31" s="42">
        <v>6</v>
      </c>
    </row>
  </sheetData>
  <mergeCells count="12">
    <mergeCell ref="C29:C31"/>
    <mergeCell ref="B2:E2"/>
    <mergeCell ref="B5:B16"/>
    <mergeCell ref="C5:C7"/>
    <mergeCell ref="C8:C10"/>
    <mergeCell ref="C11:C13"/>
    <mergeCell ref="C14:C16"/>
    <mergeCell ref="B17:B31"/>
    <mergeCell ref="C17:C19"/>
    <mergeCell ref="C20:C22"/>
    <mergeCell ref="C23:C25"/>
    <mergeCell ref="C26:C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EF20-35CC-497F-8ECB-600E423D2B8C}">
  <dimension ref="D2:U39"/>
  <sheetViews>
    <sheetView topLeftCell="A11" workbookViewId="0">
      <selection activeCell="E43" sqref="E43"/>
    </sheetView>
  </sheetViews>
  <sheetFormatPr defaultRowHeight="15" x14ac:dyDescent="0.25"/>
  <cols>
    <col min="4" max="4" width="28.7109375" customWidth="1"/>
    <col min="5" max="5" width="21" customWidth="1"/>
    <col min="6" max="6" width="15" customWidth="1"/>
    <col min="7" max="7" width="13.7109375" customWidth="1"/>
    <col min="8" max="8" width="10" customWidth="1"/>
  </cols>
  <sheetData>
    <row r="2" spans="4:21" x14ac:dyDescent="0.25">
      <c r="D2" s="10" t="s">
        <v>16</v>
      </c>
      <c r="E2" s="10"/>
      <c r="F2" s="10"/>
    </row>
    <row r="3" spans="4:21" ht="15.75" thickBot="1" x14ac:dyDescent="0.3">
      <c r="D3" t="s">
        <v>17</v>
      </c>
    </row>
    <row r="4" spans="4:21" ht="41.45" customHeight="1" x14ac:dyDescent="0.25">
      <c r="D4" s="11" t="s">
        <v>18</v>
      </c>
      <c r="E4" s="12" t="s">
        <v>19</v>
      </c>
      <c r="F4" s="12" t="s">
        <v>20</v>
      </c>
      <c r="G4" s="12" t="s">
        <v>21</v>
      </c>
      <c r="H4" s="13" t="s">
        <v>22</v>
      </c>
    </row>
    <row r="5" spans="4:21" x14ac:dyDescent="0.25">
      <c r="D5" s="14" t="s">
        <v>23</v>
      </c>
      <c r="E5" t="s">
        <v>24</v>
      </c>
      <c r="F5" t="s">
        <v>25</v>
      </c>
      <c r="G5" t="s">
        <v>26</v>
      </c>
      <c r="H5" s="15" t="s">
        <v>27</v>
      </c>
    </row>
    <row r="6" spans="4:21" x14ac:dyDescent="0.25">
      <c r="D6" s="14" t="s">
        <v>28</v>
      </c>
      <c r="E6" t="s">
        <v>25</v>
      </c>
      <c r="F6" t="s">
        <v>29</v>
      </c>
      <c r="G6" t="s">
        <v>30</v>
      </c>
      <c r="H6" s="15" t="s">
        <v>31</v>
      </c>
    </row>
    <row r="7" spans="4:21" ht="15.75" thickBot="1" x14ac:dyDescent="0.3">
      <c r="D7" s="16" t="s">
        <v>32</v>
      </c>
      <c r="E7" s="17" t="s">
        <v>33</v>
      </c>
      <c r="F7" s="17" t="s">
        <v>34</v>
      </c>
      <c r="G7" s="17" t="s">
        <v>35</v>
      </c>
      <c r="H7" s="18" t="s">
        <v>36</v>
      </c>
    </row>
    <row r="9" spans="4:21" ht="24" x14ac:dyDescent="0.25">
      <c r="D9" s="19"/>
    </row>
    <row r="11" spans="4:21" ht="45" x14ac:dyDescent="0.25">
      <c r="D11" s="5" t="s">
        <v>37</v>
      </c>
      <c r="E11" s="5" t="s">
        <v>38</v>
      </c>
      <c r="F11" s="5" t="s">
        <v>39</v>
      </c>
      <c r="G11" s="5" t="s">
        <v>40</v>
      </c>
      <c r="H11" s="5" t="s">
        <v>41</v>
      </c>
      <c r="I11" s="5" t="s">
        <v>42</v>
      </c>
      <c r="J11" s="5" t="s">
        <v>43</v>
      </c>
      <c r="K11" s="5" t="s">
        <v>44</v>
      </c>
      <c r="Q11" s="19"/>
    </row>
    <row r="12" spans="4:21" x14ac:dyDescent="0.25">
      <c r="D12" s="7" t="s">
        <v>45</v>
      </c>
      <c r="E12" s="7">
        <v>4.7949999999999999</v>
      </c>
      <c r="F12" s="7">
        <v>3.2690000000000001</v>
      </c>
      <c r="G12" s="7">
        <v>0.65400000000000003</v>
      </c>
      <c r="H12" s="7">
        <v>5.923</v>
      </c>
      <c r="I12" s="7">
        <v>6.5149999999999997</v>
      </c>
      <c r="J12" s="7">
        <v>4.2869999999999999</v>
      </c>
      <c r="K12" s="20">
        <v>0.1429</v>
      </c>
    </row>
    <row r="13" spans="4:21" x14ac:dyDescent="0.25">
      <c r="D13" s="7" t="s">
        <v>46</v>
      </c>
      <c r="E13" s="7">
        <v>4.5999999999999996</v>
      </c>
      <c r="F13" s="7">
        <v>3.1360000000000001</v>
      </c>
      <c r="G13" s="7">
        <v>0.627</v>
      </c>
      <c r="H13" s="7">
        <v>5.7640000000000002</v>
      </c>
      <c r="I13" s="7">
        <v>6.34</v>
      </c>
      <c r="J13" s="7">
        <v>4.1710000000000003</v>
      </c>
      <c r="K13" s="20">
        <v>0.13900000000000001</v>
      </c>
    </row>
    <row r="14" spans="4:21" x14ac:dyDescent="0.25">
      <c r="D14" s="7" t="s">
        <v>47</v>
      </c>
      <c r="E14" s="7">
        <v>4.5999999999999996</v>
      </c>
      <c r="F14" s="7">
        <v>3.1360000000000001</v>
      </c>
      <c r="G14" s="7">
        <v>0.627</v>
      </c>
      <c r="H14" s="7">
        <v>5.7640000000000002</v>
      </c>
      <c r="I14" s="7">
        <v>6.34</v>
      </c>
      <c r="J14" s="7">
        <v>4.1710000000000003</v>
      </c>
      <c r="K14" s="20">
        <v>0.13900000000000001</v>
      </c>
    </row>
    <row r="15" spans="4:21" ht="30" x14ac:dyDescent="0.25">
      <c r="D15" s="7" t="s">
        <v>48</v>
      </c>
      <c r="E15" s="7">
        <v>4.7850000000000001</v>
      </c>
      <c r="F15" s="7">
        <v>3.262</v>
      </c>
      <c r="G15" s="7">
        <v>0.65200000000000002</v>
      </c>
      <c r="H15" s="7">
        <v>5.915</v>
      </c>
      <c r="I15" s="7">
        <v>6.5060000000000002</v>
      </c>
      <c r="J15" s="7">
        <v>4.2809999999999997</v>
      </c>
      <c r="K15" s="20">
        <v>0.14269999999999999</v>
      </c>
      <c r="Q15" s="5"/>
      <c r="R15" s="5"/>
      <c r="S15" s="5"/>
      <c r="T15" s="5"/>
      <c r="U15" s="5"/>
    </row>
    <row r="16" spans="4:21" x14ac:dyDescent="0.25">
      <c r="D16" s="7" t="s">
        <v>49</v>
      </c>
      <c r="E16" s="7">
        <v>4.8250000000000002</v>
      </c>
      <c r="F16" s="7">
        <v>3.29</v>
      </c>
      <c r="G16" s="7">
        <v>0.65800000000000003</v>
      </c>
      <c r="H16" s="7">
        <v>5.9480000000000004</v>
      </c>
      <c r="I16" s="7">
        <v>6.5430000000000001</v>
      </c>
      <c r="J16" s="7">
        <v>4.3040000000000003</v>
      </c>
      <c r="K16" s="20">
        <v>0.14349999999999999</v>
      </c>
      <c r="Q16" s="7"/>
      <c r="R16" s="7"/>
      <c r="S16" s="7"/>
      <c r="T16" s="6"/>
      <c r="U16" s="7"/>
    </row>
    <row r="17" spans="4:21" x14ac:dyDescent="0.25">
      <c r="D17" s="7" t="s">
        <v>50</v>
      </c>
      <c r="E17" s="7">
        <v>4.5</v>
      </c>
      <c r="F17" s="7">
        <v>3.0680000000000001</v>
      </c>
      <c r="G17" s="7">
        <v>0.61399999999999999</v>
      </c>
      <c r="H17" s="7">
        <v>5.6820000000000004</v>
      </c>
      <c r="I17" s="7">
        <v>6.25</v>
      </c>
      <c r="J17" s="7">
        <v>4.1120000000000001</v>
      </c>
      <c r="K17" s="20">
        <v>0.1371</v>
      </c>
      <c r="Q17" s="7"/>
      <c r="R17" s="7"/>
      <c r="S17" s="7"/>
      <c r="T17" s="6"/>
      <c r="U17" s="7"/>
    </row>
    <row r="18" spans="4:21" x14ac:dyDescent="0.25">
      <c r="D18" s="7" t="s">
        <v>51</v>
      </c>
      <c r="E18" s="7">
        <v>4.6440000000000001</v>
      </c>
      <c r="F18" s="7">
        <v>3.1659999999999999</v>
      </c>
      <c r="G18" s="7">
        <v>0.63300000000000001</v>
      </c>
      <c r="H18" s="7">
        <v>5.8</v>
      </c>
      <c r="I18" s="7">
        <v>6.38</v>
      </c>
      <c r="J18" s="7">
        <v>4.1970000000000001</v>
      </c>
      <c r="K18" s="20">
        <v>0.1399</v>
      </c>
      <c r="Q18" s="7"/>
      <c r="R18" s="7"/>
      <c r="S18" s="7"/>
      <c r="T18" s="6"/>
      <c r="U18" s="7"/>
    </row>
    <row r="19" spans="4:21" x14ac:dyDescent="0.25">
      <c r="D19" s="7" t="s">
        <v>52</v>
      </c>
      <c r="E19" s="7">
        <v>4.3140000000000001</v>
      </c>
      <c r="F19" s="7">
        <v>2.9409999999999998</v>
      </c>
      <c r="G19" s="7">
        <v>0.58799999999999997</v>
      </c>
      <c r="H19" s="7">
        <v>5.53</v>
      </c>
      <c r="I19" s="7">
        <v>6.0830000000000002</v>
      </c>
      <c r="J19" s="7">
        <v>4.0019999999999998</v>
      </c>
      <c r="K19" s="20">
        <v>0.13339999999999999</v>
      </c>
    </row>
    <row r="20" spans="4:21" x14ac:dyDescent="0.25">
      <c r="D20" s="7" t="s">
        <v>53</v>
      </c>
      <c r="E20" s="7">
        <v>4.8929999999999998</v>
      </c>
      <c r="F20" s="7">
        <v>3.3359999999999999</v>
      </c>
      <c r="G20" s="7">
        <v>0.66700000000000004</v>
      </c>
      <c r="H20" s="7">
        <v>6.0030000000000001</v>
      </c>
      <c r="I20" s="7">
        <v>6.6040000000000001</v>
      </c>
      <c r="J20" s="7">
        <v>4.3449999999999998</v>
      </c>
      <c r="K20" s="20">
        <v>0.14480000000000001</v>
      </c>
    </row>
    <row r="21" spans="4:21" x14ac:dyDescent="0.25">
      <c r="D21" s="7" t="s">
        <v>54</v>
      </c>
      <c r="E21" s="7">
        <v>4.3150000000000004</v>
      </c>
      <c r="F21" s="7">
        <v>2.9420000000000002</v>
      </c>
      <c r="G21" s="7">
        <v>0.58799999999999997</v>
      </c>
      <c r="H21" s="7">
        <v>5.53</v>
      </c>
      <c r="I21" s="7">
        <v>6.0839999999999996</v>
      </c>
      <c r="J21" s="7">
        <v>4.0019999999999998</v>
      </c>
      <c r="K21" s="20">
        <v>0.13339999999999999</v>
      </c>
    </row>
    <row r="22" spans="4:21" x14ac:dyDescent="0.25">
      <c r="D22" s="7" t="s">
        <v>55</v>
      </c>
      <c r="E22" s="7">
        <v>4.4349999999999996</v>
      </c>
      <c r="F22" s="7">
        <v>3.024</v>
      </c>
      <c r="G22" s="7">
        <v>0.60499999999999998</v>
      </c>
      <c r="H22" s="7">
        <v>5.6289999999999996</v>
      </c>
      <c r="I22" s="7">
        <v>6.1909999999999998</v>
      </c>
      <c r="J22" s="7">
        <v>4.0730000000000004</v>
      </c>
      <c r="K22" s="20">
        <v>0.1358</v>
      </c>
    </row>
    <row r="23" spans="4:21" x14ac:dyDescent="0.25">
      <c r="D23" s="7" t="s">
        <v>56</v>
      </c>
      <c r="E23" s="7">
        <v>4.2949999999999999</v>
      </c>
      <c r="F23" s="7">
        <v>2.9279999999999999</v>
      </c>
      <c r="G23" s="7">
        <v>0.58599999999999997</v>
      </c>
      <c r="H23" s="7">
        <v>5.5140000000000002</v>
      </c>
      <c r="I23" s="7">
        <v>6.0659999999999998</v>
      </c>
      <c r="J23" s="7">
        <v>3.99</v>
      </c>
      <c r="K23" s="20">
        <v>0.13300000000000001</v>
      </c>
    </row>
    <row r="25" spans="4:21" ht="24" x14ac:dyDescent="0.25">
      <c r="D25" s="19" t="s">
        <v>57</v>
      </c>
      <c r="L25">
        <f>AVERAGE(J28:J39)</f>
        <v>4.6899166666666661</v>
      </c>
    </row>
    <row r="27" spans="4:21" ht="45" x14ac:dyDescent="0.25">
      <c r="D27" s="5" t="s">
        <v>37</v>
      </c>
      <c r="E27" s="5" t="s">
        <v>38</v>
      </c>
      <c r="F27" s="5" t="s">
        <v>39</v>
      </c>
      <c r="G27" s="5" t="s">
        <v>40</v>
      </c>
      <c r="H27" s="5" t="s">
        <v>41</v>
      </c>
      <c r="I27" s="5" t="s">
        <v>42</v>
      </c>
      <c r="J27" s="5" t="s">
        <v>43</v>
      </c>
      <c r="K27" s="5" t="s">
        <v>44</v>
      </c>
    </row>
    <row r="28" spans="4:21" x14ac:dyDescent="0.25">
      <c r="D28" s="7" t="s">
        <v>58</v>
      </c>
      <c r="E28" s="7">
        <v>4.7350000000000003</v>
      </c>
      <c r="F28" s="7">
        <v>3.706</v>
      </c>
      <c r="G28" s="7">
        <v>0.875</v>
      </c>
      <c r="H28" s="7">
        <v>6.5810000000000004</v>
      </c>
      <c r="I28" s="7">
        <v>7.2389999999999999</v>
      </c>
      <c r="J28" s="7">
        <v>4.7619999999999996</v>
      </c>
      <c r="K28" s="20">
        <v>0.15870000000000001</v>
      </c>
    </row>
    <row r="29" spans="4:21" x14ac:dyDescent="0.25">
      <c r="D29" s="7" t="s">
        <v>59</v>
      </c>
      <c r="E29" s="7">
        <v>4.4349999999999996</v>
      </c>
      <c r="F29" s="7">
        <v>3.4710000000000001</v>
      </c>
      <c r="G29" s="7">
        <v>0.82</v>
      </c>
      <c r="H29" s="7">
        <v>6.29</v>
      </c>
      <c r="I29" s="7">
        <v>6.9189999999999996</v>
      </c>
      <c r="J29" s="7">
        <v>4.5519999999999996</v>
      </c>
      <c r="K29" s="20">
        <v>0.1517</v>
      </c>
    </row>
    <row r="30" spans="4:21" x14ac:dyDescent="0.25">
      <c r="D30" s="7" t="s">
        <v>60</v>
      </c>
      <c r="E30" s="7">
        <v>4.1900000000000004</v>
      </c>
      <c r="F30" s="7">
        <v>3.2789999999999999</v>
      </c>
      <c r="G30" s="7">
        <v>0.77400000000000002</v>
      </c>
      <c r="H30" s="7">
        <v>6.0529999999999999</v>
      </c>
      <c r="I30" s="7">
        <v>6.6589999999999998</v>
      </c>
      <c r="J30" s="7">
        <v>4.3810000000000002</v>
      </c>
      <c r="K30" s="20">
        <v>0.14599999999999999</v>
      </c>
    </row>
    <row r="31" spans="4:21" x14ac:dyDescent="0.25">
      <c r="D31" s="7" t="s">
        <v>61</v>
      </c>
      <c r="E31" s="7">
        <v>4.4950000000000001</v>
      </c>
      <c r="F31" s="7">
        <v>3.5190000000000001</v>
      </c>
      <c r="G31" s="7">
        <v>0.82199999999999995</v>
      </c>
      <c r="H31" s="7">
        <v>6.3869999999999996</v>
      </c>
      <c r="I31" s="7">
        <v>7.0259999999999998</v>
      </c>
      <c r="J31" s="7">
        <v>4.6230000000000002</v>
      </c>
      <c r="K31" s="20">
        <v>0.15409999999999999</v>
      </c>
    </row>
    <row r="32" spans="4:21" x14ac:dyDescent="0.25">
      <c r="D32" s="7" t="s">
        <v>62</v>
      </c>
      <c r="E32" s="7">
        <v>4.3949999999999996</v>
      </c>
      <c r="F32" s="7">
        <v>3.4390000000000001</v>
      </c>
      <c r="G32" s="7">
        <v>0.81200000000000006</v>
      </c>
      <c r="H32" s="7">
        <v>6.2009999999999996</v>
      </c>
      <c r="I32" s="7">
        <v>6.8209999999999997</v>
      </c>
      <c r="J32" s="7">
        <v>4.4889999999999999</v>
      </c>
      <c r="K32" s="20">
        <v>0.14960000000000001</v>
      </c>
    </row>
    <row r="33" spans="4:11" x14ac:dyDescent="0.25">
      <c r="D33" s="7" t="s">
        <v>63</v>
      </c>
      <c r="E33" s="7">
        <v>5.1150000000000002</v>
      </c>
      <c r="F33" s="7">
        <v>4</v>
      </c>
      <c r="G33" s="7">
        <v>0.94499999999999995</v>
      </c>
      <c r="H33" s="7">
        <v>6.9950000000000001</v>
      </c>
      <c r="I33" s="7">
        <v>7.6950000000000003</v>
      </c>
      <c r="J33" s="7">
        <v>5.0609999999999999</v>
      </c>
      <c r="K33" s="20">
        <v>0.16869999999999999</v>
      </c>
    </row>
    <row r="34" spans="4:11" x14ac:dyDescent="0.25">
      <c r="D34" s="7" t="s">
        <v>64</v>
      </c>
      <c r="E34" s="7">
        <v>4.3949999999999996</v>
      </c>
      <c r="F34" s="7">
        <v>3.4390000000000001</v>
      </c>
      <c r="G34" s="7">
        <v>0.81200000000000006</v>
      </c>
      <c r="H34" s="7">
        <v>6.2009999999999996</v>
      </c>
      <c r="I34" s="7">
        <v>6.8209999999999997</v>
      </c>
      <c r="J34" s="7">
        <v>4.4889999999999999</v>
      </c>
      <c r="K34" s="20">
        <v>0.14960000000000001</v>
      </c>
    </row>
    <row r="35" spans="4:11" x14ac:dyDescent="0.25">
      <c r="D35" s="7" t="s">
        <v>65</v>
      </c>
      <c r="E35" s="7">
        <v>4.2649999999999997</v>
      </c>
      <c r="F35" s="7">
        <v>3.3370000000000002</v>
      </c>
      <c r="G35" s="7">
        <v>0.78800000000000003</v>
      </c>
      <c r="H35" s="7">
        <v>6.0750000000000002</v>
      </c>
      <c r="I35" s="7">
        <v>6.6829999999999998</v>
      </c>
      <c r="J35" s="7">
        <v>4.3970000000000002</v>
      </c>
      <c r="K35" s="20">
        <v>0.14660000000000001</v>
      </c>
    </row>
    <row r="36" spans="4:11" x14ac:dyDescent="0.25">
      <c r="D36" s="7" t="s">
        <v>66</v>
      </c>
      <c r="E36" s="7">
        <v>5.2649999999999997</v>
      </c>
      <c r="F36" s="7">
        <v>4.1139999999999999</v>
      </c>
      <c r="G36" s="7">
        <v>0.97399999999999998</v>
      </c>
      <c r="H36" s="7">
        <v>7.0839999999999996</v>
      </c>
      <c r="I36" s="7">
        <v>7.7930000000000001</v>
      </c>
      <c r="J36" s="7">
        <v>5.1289999999999996</v>
      </c>
      <c r="K36" s="20">
        <v>0.17100000000000001</v>
      </c>
    </row>
    <row r="37" spans="4:11" x14ac:dyDescent="0.25">
      <c r="D37" s="7" t="s">
        <v>67</v>
      </c>
      <c r="E37" s="7">
        <v>5.2649999999999997</v>
      </c>
      <c r="F37" s="7">
        <v>4.1139999999999999</v>
      </c>
      <c r="G37" s="7">
        <v>0.97399999999999998</v>
      </c>
      <c r="H37" s="7">
        <v>7.0839999999999996</v>
      </c>
      <c r="I37" s="7">
        <v>7.7930000000000001</v>
      </c>
      <c r="J37" s="7">
        <v>5.1289999999999996</v>
      </c>
      <c r="K37" s="20">
        <v>0.17100000000000001</v>
      </c>
    </row>
    <row r="38" spans="4:11" x14ac:dyDescent="0.25">
      <c r="D38" s="7" t="s">
        <v>68</v>
      </c>
      <c r="E38" s="7">
        <v>4.54</v>
      </c>
      <c r="F38" s="7">
        <v>3.5550000000000002</v>
      </c>
      <c r="G38" s="7">
        <v>0.83899999999999997</v>
      </c>
      <c r="H38" s="7">
        <v>6.3949999999999996</v>
      </c>
      <c r="I38" s="7">
        <v>7.0350000000000001</v>
      </c>
      <c r="J38" s="7">
        <v>4.6319999999999997</v>
      </c>
      <c r="K38" s="20">
        <v>0.15440000000000001</v>
      </c>
    </row>
    <row r="39" spans="4:11" x14ac:dyDescent="0.25">
      <c r="D39" s="7" t="s">
        <v>69</v>
      </c>
      <c r="E39" s="7">
        <v>4.5</v>
      </c>
      <c r="F39" s="7">
        <v>3.5219999999999998</v>
      </c>
      <c r="G39" s="7">
        <v>0.83099999999999996</v>
      </c>
      <c r="H39" s="7">
        <v>6.4029999999999996</v>
      </c>
      <c r="I39" s="7">
        <v>7.0430000000000001</v>
      </c>
      <c r="J39" s="7">
        <v>4.6349999999999998</v>
      </c>
      <c r="K39" s="20">
        <v>0.1545</v>
      </c>
    </row>
  </sheetData>
  <mergeCells count="1"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Tint Options</vt:lpstr>
      <vt:lpstr>Sizes per and cost Per Category</vt:lpstr>
      <vt:lpstr>Pricing</vt:lpstr>
      <vt:lpstr>Estimate Film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Eshkoor</dc:creator>
  <cp:lastModifiedBy>Babak Eshkoor</cp:lastModifiedBy>
  <dcterms:created xsi:type="dcterms:W3CDTF">2026-04-06T08:59:19Z</dcterms:created>
  <dcterms:modified xsi:type="dcterms:W3CDTF">2026-04-06T09:26:25Z</dcterms:modified>
</cp:coreProperties>
</file>